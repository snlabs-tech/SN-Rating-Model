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y PC\jupyter_notes\hood\rating\SN-Rating-Model\src\windows_bundle\input\"/>
    </mc:Choice>
  </mc:AlternateContent>
  <xr:revisionPtr revIDLastSave="0" documentId="13_ncr:1_{5E4A5C6B-7585-4A04-8B90-D728669377D5}" xr6:coauthVersionLast="47" xr6:coauthVersionMax="47" xr10:uidLastSave="{00000000-0000-0000-0000-000000000000}"/>
  <bookViews>
    <workbookView xWindow="-110" yWindow="-110" windowWidth="19420" windowHeight="10300" xr2:uid="{5796C79A-2A2C-42C5-860C-B3C40DDE91D1}"/>
  </bookViews>
  <sheets>
    <sheet name="metadata" sheetId="7" r:id="rId1"/>
    <sheet name="fin_ratios" sheetId="1" r:id="rId2"/>
    <sheet name="components" sheetId="2" r:id="rId3"/>
    <sheet name="qual_factors" sheetId="4" r:id="rId4"/>
    <sheet name="peers_t0" sheetId="3" r:id="rId5"/>
  </sheets>
  <definedNames>
    <definedName name="_xlnm._FilterDatabase" localSheetId="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" i="3"/>
</calcChain>
</file>

<file path=xl/sharedStrings.xml><?xml version="1.0" encoding="utf-8"?>
<sst xmlns="http://schemas.openxmlformats.org/spreadsheetml/2006/main" count="120" uniqueCount="100">
  <si>
    <t>metric</t>
  </si>
  <si>
    <t>peer1</t>
  </si>
  <si>
    <t>peer2</t>
  </si>
  <si>
    <t>peer3</t>
  </si>
  <si>
    <t>factor</t>
  </si>
  <si>
    <t>field</t>
  </si>
  <si>
    <t>value</t>
  </si>
  <si>
    <t>enable_hardstops</t>
  </si>
  <si>
    <t>enable_sovereign_cap</t>
  </si>
  <si>
    <t>net_debt_ebitda</t>
  </si>
  <si>
    <t>debt_equity</t>
  </si>
  <si>
    <t>debt_capital</t>
  </si>
  <si>
    <t>ffo_debt</t>
  </si>
  <si>
    <t>fcf_debt</t>
  </si>
  <si>
    <t>interest_coverage</t>
  </si>
  <si>
    <t>fixed_charge_coverage</t>
  </si>
  <si>
    <t>dscr</t>
  </si>
  <si>
    <t>ebitda_margin</t>
  </si>
  <si>
    <t>ebit_margin</t>
  </si>
  <si>
    <t>roa</t>
  </si>
  <si>
    <t>roe</t>
  </si>
  <si>
    <t>capex_dep</t>
  </si>
  <si>
    <t>current_ratio</t>
  </si>
  <si>
    <t>rollover_coverage</t>
  </si>
  <si>
    <t>working_capital</t>
  </si>
  <si>
    <t>total_assets</t>
  </si>
  <si>
    <t>retained_earnings</t>
  </si>
  <si>
    <t>ebit</t>
  </si>
  <si>
    <t>market_value_equity</t>
  </si>
  <si>
    <t>total_liabilities</t>
  </si>
  <si>
    <t>sales</t>
  </si>
  <si>
    <t>industry_risk</t>
  </si>
  <si>
    <t>market_position</t>
  </si>
  <si>
    <t>revenue_diversification</t>
  </si>
  <si>
    <t>revenue_stability</t>
  </si>
  <si>
    <t>business_model_resilience</t>
  </si>
  <si>
    <t>management_quality</t>
  </si>
  <si>
    <t>governance</t>
  </si>
  <si>
    <t>financial_policy</t>
  </si>
  <si>
    <t>sovereign_risk</t>
  </si>
  <si>
    <t>legal_environment</t>
  </si>
  <si>
    <t>transparency</t>
  </si>
  <si>
    <t>name</t>
  </si>
  <si>
    <t>country</t>
  </si>
  <si>
    <t>id</t>
  </si>
  <si>
    <t>C001</t>
  </si>
  <si>
    <t>altman_z</t>
  </si>
  <si>
    <t>Negative</t>
  </si>
  <si>
    <t>quick_ratio</t>
  </si>
  <si>
    <t>sovereign_rating</t>
  </si>
  <si>
    <t>sovereign_outlook</t>
  </si>
  <si>
    <t>enable_peer_positioning</t>
  </si>
  <si>
    <t>Positive</t>
  </si>
  <si>
    <t>Stable</t>
  </si>
  <si>
    <t>peer4</t>
  </si>
  <si>
    <t>peer5</t>
  </si>
  <si>
    <t>peer6</t>
  </si>
  <si>
    <t>peer7</t>
  </si>
  <si>
    <t>peer8</t>
  </si>
  <si>
    <t>peer9</t>
  </si>
  <si>
    <t>FY25</t>
  </si>
  <si>
    <t>FY24</t>
  </si>
  <si>
    <t>FY23</t>
  </si>
  <si>
    <t>BBB+</t>
  </si>
  <si>
    <t>AAA</t>
  </si>
  <si>
    <t>AA+</t>
  </si>
  <si>
    <t>AA</t>
  </si>
  <si>
    <t>AA-</t>
  </si>
  <si>
    <t>BBB</t>
  </si>
  <si>
    <t>BBB-</t>
  </si>
  <si>
    <t>BB+</t>
  </si>
  <si>
    <t>BB</t>
  </si>
  <si>
    <t>BB-</t>
  </si>
  <si>
    <t>B+</t>
  </si>
  <si>
    <t>B</t>
  </si>
  <si>
    <t>B-</t>
  </si>
  <si>
    <t>CCC+</t>
  </si>
  <si>
    <t>CCC</t>
  </si>
  <si>
    <t>CCC-</t>
  </si>
  <si>
    <t>CC+</t>
  </si>
  <si>
    <t>CC</t>
  </si>
  <si>
    <t>C</t>
  </si>
  <si>
    <t>DE</t>
  </si>
  <si>
    <t>debt_ebitda</t>
  </si>
  <si>
    <t>ratio_a</t>
  </si>
  <si>
    <t>ratio_b</t>
  </si>
  <si>
    <t>ratio_c</t>
  </si>
  <si>
    <t>ratio_d</t>
  </si>
  <si>
    <t>bucket</t>
  </si>
  <si>
    <t>business_risk</t>
  </si>
  <si>
    <t>management</t>
  </si>
  <si>
    <t>sovereign</t>
  </si>
  <si>
    <t>weight</t>
  </si>
  <si>
    <t>quantitative_weight</t>
  </si>
  <si>
    <t>qualitative_weight</t>
  </si>
  <si>
    <t>ratio_e</t>
  </si>
  <si>
    <t>ratio_f</t>
  </si>
  <si>
    <t>ratio_g</t>
  </si>
  <si>
    <t>ratio_h</t>
  </si>
  <si>
    <t>abc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</si>
</sst>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3" xfId="0" applyBorder="1"/>
    <xf numFmtId="0" fontId="0" fillId="2" borderId="3" xfId="0" applyFill="1" applyBorder="1"/>
    <xf numFmtId="0" fontId="4" fillId="0" borderId="3" xfId="0" applyFont="1" applyBorder="1" applyAlignment="1">
      <alignment horizontal="left" wrapText="1"/>
    </xf>
    <xf numFmtId="2" fontId="0" fillId="0" borderId="0" xfId="0" applyNumberFormat="1"/>
    <xf numFmtId="0" fontId="0" fillId="3" borderId="0" xfId="0" applyFill="1"/>
    <xf numFmtId="0" fontId="3" fillId="0" borderId="0" xfId="0" applyFont="1" applyAlignment="1">
      <alignment horizontal="left" wrapText="1"/>
    </xf>
    <xf numFmtId="164" fontId="0" fillId="3" borderId="0" xfId="0" applyNumberFormat="1" applyFill="1"/>
    <xf numFmtId="0" fontId="0" fillId="4" borderId="3" xfId="0" applyFill="1" applyBorder="1"/>
    <xf numFmtId="0" fontId="0" fillId="5" borderId="3" xfId="0" applyFill="1" applyBorder="1"/>
    <xf numFmtId="0" fontId="0" fillId="4" borderId="5" xfId="0" applyFill="1" applyBorder="1"/>
    <xf numFmtId="0" fontId="0" fillId="2" borderId="6" xfId="0" applyFill="1" applyBorder="1"/>
    <xf numFmtId="0" fontId="0" fillId="4" borderId="7" xfId="0" applyFill="1" applyBorder="1"/>
    <xf numFmtId="0" fontId="0" fillId="5" borderId="8" xfId="0" applyFill="1" applyBorder="1"/>
    <xf numFmtId="0" fontId="0" fillId="2" borderId="8" xfId="0" applyFill="1" applyBorder="1"/>
    <xf numFmtId="0" fontId="0" fillId="2" borderId="9" xfId="0" applyFill="1" applyBorder="1"/>
    <xf numFmtId="0" fontId="0" fillId="4" borderId="10" xfId="0" applyFill="1" applyBorder="1"/>
    <xf numFmtId="0" fontId="0" fillId="5" borderId="11" xfId="0" applyFill="1" applyBorder="1"/>
    <xf numFmtId="0" fontId="0" fillId="2" borderId="11" xfId="0" applyFill="1" applyBorder="1"/>
    <xf numFmtId="0" fontId="0" fillId="2" borderId="12" xfId="0" applyFill="1" applyBorder="1"/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0" fillId="4" borderId="11" xfId="0" applyFill="1" applyBorder="1"/>
    <xf numFmtId="0" fontId="4" fillId="0" borderId="17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30C0-7656-4710-89CB-9A1CD7C84D67}">
  <sheetPr codeName="Sheet7"/>
  <dimension ref="A1:T21"/>
  <sheetViews>
    <sheetView tabSelected="1" workbookViewId="0">
      <selection activeCell="H6" sqref="H6"/>
    </sheetView>
  </sheetViews>
  <sheetFormatPr defaultRowHeight="14.5" x14ac:dyDescent="0.35"/>
  <cols>
    <col min="1" max="2" width="22.1796875" customWidth="1"/>
  </cols>
  <sheetData>
    <row r="1" spans="1:20" x14ac:dyDescent="0.35">
      <c r="A1" s="33" t="s">
        <v>5</v>
      </c>
      <c r="B1" s="33" t="s">
        <v>6</v>
      </c>
    </row>
    <row r="2" spans="1:20" ht="14.5" customHeight="1" x14ac:dyDescent="0.35">
      <c r="A2" s="31" t="s">
        <v>42</v>
      </c>
      <c r="B2" s="34" t="s">
        <v>99</v>
      </c>
      <c r="R2" t="s">
        <v>52</v>
      </c>
      <c r="S2">
        <v>1</v>
      </c>
      <c r="T2" t="s">
        <v>64</v>
      </c>
    </row>
    <row r="3" spans="1:20" ht="14.5" customHeight="1" x14ac:dyDescent="0.35">
      <c r="A3" s="31" t="s">
        <v>43</v>
      </c>
      <c r="B3" s="34" t="s">
        <v>82</v>
      </c>
      <c r="R3" t="s">
        <v>53</v>
      </c>
      <c r="S3">
        <v>2</v>
      </c>
      <c r="T3" t="s">
        <v>65</v>
      </c>
    </row>
    <row r="4" spans="1:20" ht="14.5" customHeight="1" x14ac:dyDescent="0.35">
      <c r="A4" s="31" t="s">
        <v>44</v>
      </c>
      <c r="B4" s="34" t="s">
        <v>45</v>
      </c>
      <c r="R4" t="s">
        <v>47</v>
      </c>
      <c r="S4">
        <v>3</v>
      </c>
      <c r="T4" t="s">
        <v>66</v>
      </c>
    </row>
    <row r="5" spans="1:20" ht="14.5" customHeight="1" x14ac:dyDescent="0.35">
      <c r="A5" s="31" t="s">
        <v>49</v>
      </c>
      <c r="B5" s="34" t="s">
        <v>74</v>
      </c>
      <c r="R5" t="b">
        <v>1</v>
      </c>
      <c r="S5">
        <v>4</v>
      </c>
      <c r="T5" t="s">
        <v>67</v>
      </c>
    </row>
    <row r="6" spans="1:20" ht="14.5" customHeight="1" x14ac:dyDescent="0.35">
      <c r="A6" s="31" t="s">
        <v>50</v>
      </c>
      <c r="B6" s="4" t="s">
        <v>47</v>
      </c>
      <c r="R6" t="b">
        <v>0</v>
      </c>
      <c r="S6">
        <v>5</v>
      </c>
      <c r="T6" t="s">
        <v>63</v>
      </c>
    </row>
    <row r="7" spans="1:20" ht="14.5" customHeight="1" x14ac:dyDescent="0.35">
      <c r="A7" s="31" t="s">
        <v>51</v>
      </c>
      <c r="B7" s="34"/>
      <c r="T7" t="s">
        <v>68</v>
      </c>
    </row>
    <row r="8" spans="1:20" ht="14.5" customHeight="1" x14ac:dyDescent="0.35">
      <c r="A8" s="31" t="s">
        <v>7</v>
      </c>
      <c r="B8" s="34"/>
      <c r="T8" t="s">
        <v>69</v>
      </c>
    </row>
    <row r="9" spans="1:20" ht="14.5" customHeight="1" x14ac:dyDescent="0.35">
      <c r="A9" s="31" t="s">
        <v>8</v>
      </c>
      <c r="B9" s="34"/>
      <c r="T9" t="s">
        <v>70</v>
      </c>
    </row>
    <row r="10" spans="1:20" ht="14.5" customHeight="1" x14ac:dyDescent="0.35">
      <c r="A10" s="32" t="s">
        <v>93</v>
      </c>
      <c r="B10" s="35">
        <v>0.5</v>
      </c>
      <c r="T10" t="s">
        <v>71</v>
      </c>
    </row>
    <row r="11" spans="1:20" ht="16.5" x14ac:dyDescent="0.35">
      <c r="A11" s="32" t="s">
        <v>94</v>
      </c>
      <c r="B11" s="35">
        <v>0.5</v>
      </c>
      <c r="T11" t="s">
        <v>72</v>
      </c>
    </row>
    <row r="12" spans="1:20" x14ac:dyDescent="0.35">
      <c r="T12" t="s">
        <v>73</v>
      </c>
    </row>
    <row r="13" spans="1:20" x14ac:dyDescent="0.35">
      <c r="T13" t="s">
        <v>74</v>
      </c>
    </row>
    <row r="14" spans="1:20" x14ac:dyDescent="0.35">
      <c r="T14" t="s">
        <v>75</v>
      </c>
    </row>
    <row r="15" spans="1:20" x14ac:dyDescent="0.35">
      <c r="T15" t="s">
        <v>76</v>
      </c>
    </row>
    <row r="16" spans="1:20" x14ac:dyDescent="0.35">
      <c r="T16" t="s">
        <v>77</v>
      </c>
    </row>
    <row r="17" spans="20:20" x14ac:dyDescent="0.35">
      <c r="T17" t="s">
        <v>78</v>
      </c>
    </row>
    <row r="18" spans="20:20" x14ac:dyDescent="0.35">
      <c r="T18" t="s">
        <v>79</v>
      </c>
    </row>
    <row r="19" spans="20:20" x14ac:dyDescent="0.35">
      <c r="T19" t="s">
        <v>80</v>
      </c>
    </row>
    <row r="20" spans="20:20" x14ac:dyDescent="0.35">
      <c r="T20" t="s">
        <v>79</v>
      </c>
    </row>
    <row r="21" spans="20:20" x14ac:dyDescent="0.35">
      <c r="T21" t="s">
        <v>81</v>
      </c>
    </row>
  </sheetData>
  <dataValidations count="3">
    <dataValidation type="list" showInputMessage="1" showErrorMessage="1" errorTitle="Invalid Value" error="Please select either TRUE or FALSE from the dropdown list." sqref="B7:B9" xr:uid="{D92C3975-DDE4-4DC1-A79F-8A6B52EA25C2}">
      <formula1>$R$5:$R$6</formula1>
    </dataValidation>
    <dataValidation type="list" showInputMessage="1" showErrorMessage="1" errorTitle="Invalid outlook" error="Please select a value from the dropdown list," sqref="B6" xr:uid="{0A54ED67-F962-4B67-BCDB-82FB465CFF52}">
      <formula1>$R$2:$R$4</formula1>
    </dataValidation>
    <dataValidation type="list" allowBlank="1" showInputMessage="1" showErrorMessage="1" errorTitle="Invalid input" error="Please select a rating value from the dropdown list." sqref="B5" xr:uid="{32E8178F-55BC-453F-98E3-420F1D73C5B0}">
      <formula1>$T$2:$T$21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A964-9045-4DEE-AC8D-ACD1DD3D80C9}">
  <sheetPr codeName="Sheet1"/>
  <dimension ref="A1:E27"/>
  <sheetViews>
    <sheetView workbookViewId="0">
      <selection activeCell="A28" sqref="A28"/>
    </sheetView>
  </sheetViews>
  <sheetFormatPr defaultRowHeight="14.5" x14ac:dyDescent="0.35"/>
  <cols>
    <col min="1" max="1" width="20.08984375" bestFit="1" customWidth="1"/>
    <col min="2" max="2" width="9.36328125" customWidth="1"/>
    <col min="3" max="3" width="5.54296875" bestFit="1" customWidth="1"/>
    <col min="4" max="5" width="5.81640625" bestFit="1" customWidth="1"/>
  </cols>
  <sheetData>
    <row r="1" spans="1:5" ht="17" thickBot="1" x14ac:dyDescent="0.5">
      <c r="A1" s="22" t="s">
        <v>0</v>
      </c>
      <c r="B1" s="23" t="s">
        <v>92</v>
      </c>
      <c r="C1" s="23" t="s">
        <v>60</v>
      </c>
      <c r="D1" s="23" t="s">
        <v>61</v>
      </c>
      <c r="E1" s="24" t="s">
        <v>62</v>
      </c>
    </row>
    <row r="2" spans="1:5" x14ac:dyDescent="0.35">
      <c r="A2" s="18" t="s">
        <v>46</v>
      </c>
      <c r="B2" s="19">
        <v>1</v>
      </c>
      <c r="C2" s="20">
        <v>3</v>
      </c>
      <c r="D2" s="20">
        <v>2.4</v>
      </c>
      <c r="E2" s="21">
        <v>1.4</v>
      </c>
    </row>
    <row r="3" spans="1:5" x14ac:dyDescent="0.35">
      <c r="A3" s="12" t="s">
        <v>83</v>
      </c>
      <c r="B3" s="11">
        <v>2</v>
      </c>
      <c r="C3" s="4">
        <v>1.9</v>
      </c>
      <c r="D3" s="4">
        <v>3.6</v>
      </c>
      <c r="E3" s="13">
        <v>3.9</v>
      </c>
    </row>
    <row r="4" spans="1:5" x14ac:dyDescent="0.35">
      <c r="A4" s="12" t="s">
        <v>9</v>
      </c>
      <c r="B4" s="11">
        <v>2</v>
      </c>
      <c r="C4" s="4">
        <v>1.4</v>
      </c>
      <c r="D4" s="4">
        <v>3.1</v>
      </c>
      <c r="E4" s="13">
        <v>3.4</v>
      </c>
    </row>
    <row r="5" spans="1:5" x14ac:dyDescent="0.35">
      <c r="A5" s="12" t="s">
        <v>10</v>
      </c>
      <c r="B5" s="11">
        <v>2</v>
      </c>
      <c r="C5" s="4">
        <v>0.7</v>
      </c>
      <c r="D5" s="4">
        <v>1.6</v>
      </c>
      <c r="E5" s="13">
        <v>1.7</v>
      </c>
    </row>
    <row r="6" spans="1:5" x14ac:dyDescent="0.35">
      <c r="A6" s="12" t="s">
        <v>11</v>
      </c>
      <c r="B6" s="11">
        <v>2</v>
      </c>
      <c r="C6" s="4">
        <v>0.4</v>
      </c>
      <c r="D6" s="4">
        <v>0.56999999999999995</v>
      </c>
      <c r="E6" s="13">
        <v>0.6</v>
      </c>
    </row>
    <row r="7" spans="1:5" x14ac:dyDescent="0.35">
      <c r="A7" s="12" t="s">
        <v>12</v>
      </c>
      <c r="B7" s="11">
        <v>2</v>
      </c>
      <c r="C7" s="4">
        <v>0.8</v>
      </c>
      <c r="D7" s="4">
        <v>0.17</v>
      </c>
      <c r="E7" s="13">
        <v>0.16</v>
      </c>
    </row>
    <row r="8" spans="1:5" x14ac:dyDescent="0.35">
      <c r="A8" s="12" t="s">
        <v>13</v>
      </c>
      <c r="B8" s="11">
        <v>2</v>
      </c>
      <c r="C8" s="4">
        <v>1</v>
      </c>
      <c r="D8" s="4">
        <v>1.5</v>
      </c>
      <c r="E8" s="13">
        <v>1.2</v>
      </c>
    </row>
    <row r="9" spans="1:5" x14ac:dyDescent="0.35">
      <c r="A9" s="12" t="s">
        <v>14</v>
      </c>
      <c r="B9" s="11">
        <v>1</v>
      </c>
      <c r="C9" s="4">
        <v>2</v>
      </c>
      <c r="D9" s="4">
        <v>1.2</v>
      </c>
      <c r="E9" s="13">
        <v>1.5</v>
      </c>
    </row>
    <row r="10" spans="1:5" x14ac:dyDescent="0.35">
      <c r="A10" s="12" t="s">
        <v>15</v>
      </c>
      <c r="B10" s="11">
        <v>1</v>
      </c>
      <c r="C10" s="4">
        <v>2</v>
      </c>
      <c r="D10" s="4">
        <v>1.6</v>
      </c>
      <c r="E10" s="13">
        <v>1.8</v>
      </c>
    </row>
    <row r="11" spans="1:5" x14ac:dyDescent="0.35">
      <c r="A11" s="12" t="s">
        <v>16</v>
      </c>
      <c r="B11" s="11">
        <v>1</v>
      </c>
      <c r="C11" s="4">
        <v>0.8</v>
      </c>
      <c r="D11" s="4">
        <v>1.05</v>
      </c>
      <c r="E11" s="13">
        <v>1.1000000000000001</v>
      </c>
    </row>
    <row r="12" spans="1:5" x14ac:dyDescent="0.35">
      <c r="A12" s="12" t="s">
        <v>17</v>
      </c>
      <c r="B12" s="11">
        <v>1</v>
      </c>
      <c r="C12" s="4">
        <v>0.1</v>
      </c>
      <c r="D12" s="4">
        <v>0.16500000000000001</v>
      </c>
      <c r="E12" s="13">
        <v>0.155</v>
      </c>
    </row>
    <row r="13" spans="1:5" x14ac:dyDescent="0.35">
      <c r="A13" s="12" t="s">
        <v>18</v>
      </c>
      <c r="B13" s="11">
        <v>1</v>
      </c>
      <c r="C13" s="4">
        <v>0.09</v>
      </c>
      <c r="D13" s="4">
        <v>0.11</v>
      </c>
      <c r="E13" s="13">
        <v>0.1</v>
      </c>
    </row>
    <row r="14" spans="1:5" x14ac:dyDescent="0.35">
      <c r="A14" s="12" t="s">
        <v>19</v>
      </c>
      <c r="B14" s="11">
        <v>1</v>
      </c>
      <c r="C14" s="4">
        <v>0.06</v>
      </c>
      <c r="D14" s="4">
        <v>5.1999999999999998E-2</v>
      </c>
      <c r="E14" s="13">
        <v>0.05</v>
      </c>
    </row>
    <row r="15" spans="1:5" x14ac:dyDescent="0.35">
      <c r="A15" s="12" t="s">
        <v>20</v>
      </c>
      <c r="B15" s="11"/>
      <c r="C15" s="4">
        <v>0.05</v>
      </c>
      <c r="D15" s="4">
        <v>0.105</v>
      </c>
      <c r="E15" s="13">
        <v>0.1</v>
      </c>
    </row>
    <row r="16" spans="1:5" x14ac:dyDescent="0.35">
      <c r="A16" s="12" t="s">
        <v>21</v>
      </c>
      <c r="B16" s="11"/>
      <c r="C16" s="4">
        <v>1.1000000000000001</v>
      </c>
      <c r="D16" s="4">
        <v>1.2</v>
      </c>
      <c r="E16" s="13">
        <v>1.1000000000000001</v>
      </c>
    </row>
    <row r="17" spans="1:5" x14ac:dyDescent="0.35">
      <c r="A17" s="12" t="s">
        <v>22</v>
      </c>
      <c r="B17" s="11"/>
      <c r="C17" s="4">
        <v>1.1000000000000001</v>
      </c>
      <c r="D17" s="4">
        <v>1.2</v>
      </c>
      <c r="E17" s="13">
        <v>1.1000000000000001</v>
      </c>
    </row>
    <row r="18" spans="1:5" x14ac:dyDescent="0.35">
      <c r="A18" s="12" t="s">
        <v>23</v>
      </c>
      <c r="B18" s="11"/>
      <c r="C18" s="4">
        <v>1.1000000000000001</v>
      </c>
      <c r="D18" s="4">
        <v>1.2</v>
      </c>
      <c r="E18" s="13">
        <v>1.1000000000000001</v>
      </c>
    </row>
    <row r="19" spans="1:5" x14ac:dyDescent="0.35">
      <c r="A19" s="12" t="s">
        <v>48</v>
      </c>
      <c r="B19" s="11"/>
      <c r="C19" s="4">
        <v>1.1000000000000001</v>
      </c>
      <c r="D19" s="4">
        <v>1.2</v>
      </c>
      <c r="E19" s="13">
        <v>1.1000000000000001</v>
      </c>
    </row>
    <row r="20" spans="1:5" x14ac:dyDescent="0.35">
      <c r="A20" s="12" t="s">
        <v>84</v>
      </c>
      <c r="B20" s="11"/>
      <c r="C20" s="4">
        <v>1.1000000000000001</v>
      </c>
      <c r="D20" s="4">
        <v>1.2</v>
      </c>
      <c r="E20" s="13">
        <v>1.1000000000000001</v>
      </c>
    </row>
    <row r="21" spans="1:5" x14ac:dyDescent="0.35">
      <c r="A21" s="12" t="s">
        <v>85</v>
      </c>
      <c r="B21" s="11"/>
      <c r="C21" s="4">
        <v>1.1000000000000001</v>
      </c>
      <c r="D21" s="4">
        <v>1.2</v>
      </c>
      <c r="E21" s="13">
        <v>1.1000000000000001</v>
      </c>
    </row>
    <row r="22" spans="1:5" x14ac:dyDescent="0.35">
      <c r="A22" s="12" t="s">
        <v>86</v>
      </c>
      <c r="B22" s="11"/>
      <c r="C22" s="4">
        <v>1.1000000000000001</v>
      </c>
      <c r="D22" s="4">
        <v>1.2</v>
      </c>
      <c r="E22" s="13">
        <v>1.1000000000000001</v>
      </c>
    </row>
    <row r="23" spans="1:5" ht="15" thickBot="1" x14ac:dyDescent="0.4">
      <c r="A23" s="14" t="s">
        <v>87</v>
      </c>
      <c r="B23" s="15"/>
      <c r="C23" s="16">
        <v>1.1000000000000001</v>
      </c>
      <c r="D23" s="16">
        <v>1.2</v>
      </c>
      <c r="E23" s="17">
        <v>1.1000000000000001</v>
      </c>
    </row>
    <row r="24" spans="1:5" ht="15" thickBot="1" x14ac:dyDescent="0.4">
      <c r="A24" s="12" t="s">
        <v>95</v>
      </c>
      <c r="B24" s="15"/>
      <c r="C24" s="16">
        <v>1.1000000000000001</v>
      </c>
      <c r="D24" s="16">
        <v>1.2</v>
      </c>
      <c r="E24" s="17">
        <v>1.1000000000000001</v>
      </c>
    </row>
    <row r="25" spans="1:5" ht="15" thickBot="1" x14ac:dyDescent="0.4">
      <c r="A25" s="12" t="s">
        <v>96</v>
      </c>
      <c r="B25" s="15"/>
      <c r="C25" s="16">
        <v>1.1000000000000001</v>
      </c>
      <c r="D25" s="16">
        <v>1.2</v>
      </c>
      <c r="E25" s="17">
        <v>1.1000000000000001</v>
      </c>
    </row>
    <row r="26" spans="1:5" ht="15" thickBot="1" x14ac:dyDescent="0.4">
      <c r="A26" s="12" t="s">
        <v>97</v>
      </c>
      <c r="B26" s="15"/>
      <c r="C26" s="16">
        <v>1.1000000000000001</v>
      </c>
      <c r="D26" s="16">
        <v>1.2</v>
      </c>
      <c r="E26" s="17">
        <v>1.1000000000000001</v>
      </c>
    </row>
    <row r="27" spans="1:5" ht="15" thickBot="1" x14ac:dyDescent="0.4">
      <c r="A27" s="14" t="s">
        <v>98</v>
      </c>
      <c r="B27" s="15"/>
      <c r="C27" s="16">
        <v>1.1000000000000001</v>
      </c>
      <c r="D27" s="16">
        <v>1.2</v>
      </c>
      <c r="E27" s="17">
        <v>1.1000000000000001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F5F7-7840-4649-BE1A-4FCA8F5FC754}">
  <sheetPr codeName="Sheet2"/>
  <dimension ref="A1:D8"/>
  <sheetViews>
    <sheetView workbookViewId="0">
      <selection activeCell="C15" sqref="C15"/>
    </sheetView>
  </sheetViews>
  <sheetFormatPr defaultRowHeight="14.5" x14ac:dyDescent="0.35"/>
  <cols>
    <col min="1" max="1" width="20.1796875" bestFit="1" customWidth="1"/>
  </cols>
  <sheetData>
    <row r="1" spans="1:4" ht="16.5" x14ac:dyDescent="0.45">
      <c r="A1" s="5" t="s">
        <v>0</v>
      </c>
      <c r="B1" s="2" t="s">
        <v>60</v>
      </c>
      <c r="C1" s="2" t="s">
        <v>61</v>
      </c>
      <c r="D1" s="2" t="s">
        <v>62</v>
      </c>
    </row>
    <row r="2" spans="1:4" x14ac:dyDescent="0.35">
      <c r="A2" s="3" t="s">
        <v>24</v>
      </c>
      <c r="B2" s="3">
        <v>120</v>
      </c>
      <c r="C2" s="3">
        <v>110</v>
      </c>
      <c r="D2" s="3">
        <v>100</v>
      </c>
    </row>
    <row r="3" spans="1:4" x14ac:dyDescent="0.35">
      <c r="A3" s="3" t="s">
        <v>25</v>
      </c>
      <c r="B3" s="3">
        <v>1000</v>
      </c>
      <c r="C3" s="3">
        <v>950</v>
      </c>
      <c r="D3" s="3">
        <v>900</v>
      </c>
    </row>
    <row r="4" spans="1:4" x14ac:dyDescent="0.35">
      <c r="A4" s="3" t="s">
        <v>26</v>
      </c>
      <c r="B4" s="3">
        <v>200</v>
      </c>
      <c r="C4" s="3">
        <v>180</v>
      </c>
      <c r="D4" s="3">
        <v>160</v>
      </c>
    </row>
    <row r="5" spans="1:4" x14ac:dyDescent="0.35">
      <c r="A5" s="3" t="s">
        <v>27</v>
      </c>
      <c r="B5" s="3">
        <v>80</v>
      </c>
      <c r="C5" s="3">
        <v>75</v>
      </c>
      <c r="D5" s="3">
        <v>70</v>
      </c>
    </row>
    <row r="6" spans="1:4" x14ac:dyDescent="0.35">
      <c r="A6" s="3" t="s">
        <v>28</v>
      </c>
      <c r="B6" s="3">
        <v>600</v>
      </c>
      <c r="C6" s="3">
        <v>580</v>
      </c>
      <c r="D6" s="3">
        <v>550</v>
      </c>
    </row>
    <row r="7" spans="1:4" x14ac:dyDescent="0.35">
      <c r="A7" s="3" t="s">
        <v>29</v>
      </c>
      <c r="B7" s="3">
        <v>400</v>
      </c>
      <c r="C7" s="3">
        <v>370</v>
      </c>
      <c r="D7" s="3">
        <v>350</v>
      </c>
    </row>
    <row r="8" spans="1:4" x14ac:dyDescent="0.35">
      <c r="A8" s="3" t="s">
        <v>30</v>
      </c>
      <c r="B8" s="3">
        <v>900</v>
      </c>
      <c r="C8" s="3">
        <v>880</v>
      </c>
      <c r="D8" s="3">
        <v>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6E90-E402-4E18-9B0B-EAEF9B78DA4A}">
  <sheetPr codeName="Sheet4"/>
  <dimension ref="A1:F12"/>
  <sheetViews>
    <sheetView workbookViewId="0">
      <selection activeCell="B13" sqref="B13"/>
    </sheetView>
  </sheetViews>
  <sheetFormatPr defaultRowHeight="14.5" x14ac:dyDescent="0.35"/>
  <cols>
    <col min="1" max="1" width="23.36328125" bestFit="1" customWidth="1"/>
    <col min="3" max="3" width="11.90625" bestFit="1" customWidth="1"/>
  </cols>
  <sheetData>
    <row r="1" spans="1:6" ht="17" thickBot="1" x14ac:dyDescent="0.5">
      <c r="A1" s="28" t="s">
        <v>4</v>
      </c>
      <c r="B1" s="25" t="s">
        <v>92</v>
      </c>
      <c r="C1" s="26" t="s">
        <v>88</v>
      </c>
      <c r="D1" s="29" t="s">
        <v>60</v>
      </c>
      <c r="E1" s="29" t="s">
        <v>61</v>
      </c>
      <c r="F1" s="30" t="s">
        <v>62</v>
      </c>
    </row>
    <row r="2" spans="1:6" x14ac:dyDescent="0.35">
      <c r="A2" s="27" t="s">
        <v>31</v>
      </c>
      <c r="B2" s="19">
        <v>2</v>
      </c>
      <c r="C2" s="19" t="s">
        <v>89</v>
      </c>
      <c r="D2" s="4">
        <v>3</v>
      </c>
      <c r="E2" s="4">
        <v>3</v>
      </c>
      <c r="F2" s="4">
        <v>3</v>
      </c>
    </row>
    <row r="3" spans="1:6" x14ac:dyDescent="0.35">
      <c r="A3" s="10" t="s">
        <v>32</v>
      </c>
      <c r="B3" s="11">
        <v>1</v>
      </c>
      <c r="C3" s="19" t="s">
        <v>89</v>
      </c>
      <c r="D3" s="4">
        <v>3</v>
      </c>
      <c r="E3" s="4">
        <v>3</v>
      </c>
      <c r="F3" s="4">
        <v>3</v>
      </c>
    </row>
    <row r="4" spans="1:6" x14ac:dyDescent="0.35">
      <c r="A4" s="10" t="s">
        <v>33</v>
      </c>
      <c r="B4" s="11">
        <v>1</v>
      </c>
      <c r="C4" s="19" t="s">
        <v>89</v>
      </c>
      <c r="D4" s="4">
        <v>3</v>
      </c>
      <c r="E4" s="4">
        <v>3</v>
      </c>
      <c r="F4" s="4">
        <v>3</v>
      </c>
    </row>
    <row r="5" spans="1:6" x14ac:dyDescent="0.35">
      <c r="A5" s="10" t="s">
        <v>34</v>
      </c>
      <c r="B5" s="11">
        <v>1</v>
      </c>
      <c r="C5" s="19" t="s">
        <v>89</v>
      </c>
      <c r="D5" s="4">
        <v>3</v>
      </c>
      <c r="E5" s="4">
        <v>3</v>
      </c>
      <c r="F5" s="4">
        <v>3</v>
      </c>
    </row>
    <row r="6" spans="1:6" x14ac:dyDescent="0.35">
      <c r="A6" s="10" t="s">
        <v>35</v>
      </c>
      <c r="B6" s="11">
        <v>2</v>
      </c>
      <c r="C6" s="19" t="s">
        <v>89</v>
      </c>
      <c r="D6" s="4">
        <v>3</v>
      </c>
      <c r="E6" s="4">
        <v>3</v>
      </c>
      <c r="F6" s="4">
        <v>3</v>
      </c>
    </row>
    <row r="7" spans="1:6" x14ac:dyDescent="0.35">
      <c r="A7" s="10" t="s">
        <v>36</v>
      </c>
      <c r="B7" s="11">
        <v>1</v>
      </c>
      <c r="C7" s="19" t="s">
        <v>90</v>
      </c>
      <c r="D7" s="4">
        <v>3</v>
      </c>
      <c r="E7" s="4">
        <v>3</v>
      </c>
      <c r="F7" s="4">
        <v>3</v>
      </c>
    </row>
    <row r="8" spans="1:6" x14ac:dyDescent="0.35">
      <c r="A8" s="10" t="s">
        <v>37</v>
      </c>
      <c r="B8" s="11">
        <v>1</v>
      </c>
      <c r="C8" s="19" t="s">
        <v>90</v>
      </c>
      <c r="D8" s="4">
        <v>3</v>
      </c>
      <c r="E8" s="4">
        <v>3</v>
      </c>
      <c r="F8" s="4">
        <v>3</v>
      </c>
    </row>
    <row r="9" spans="1:6" x14ac:dyDescent="0.35">
      <c r="A9" s="10" t="s">
        <v>38</v>
      </c>
      <c r="B9" s="11">
        <v>1</v>
      </c>
      <c r="C9" s="19" t="s">
        <v>90</v>
      </c>
      <c r="D9" s="4">
        <v>3</v>
      </c>
      <c r="E9" s="4">
        <v>3</v>
      </c>
      <c r="F9" s="4">
        <v>3</v>
      </c>
    </row>
    <row r="10" spans="1:6" x14ac:dyDescent="0.35">
      <c r="A10" s="10" t="s">
        <v>39</v>
      </c>
      <c r="B10" s="11"/>
      <c r="C10" s="11" t="s">
        <v>91</v>
      </c>
      <c r="D10" s="4">
        <v>3</v>
      </c>
      <c r="E10" s="4">
        <v>3</v>
      </c>
      <c r="F10" s="4">
        <v>3</v>
      </c>
    </row>
    <row r="11" spans="1:6" x14ac:dyDescent="0.35">
      <c r="A11" s="10" t="s">
        <v>40</v>
      </c>
      <c r="B11" s="11"/>
      <c r="C11" s="11" t="s">
        <v>91</v>
      </c>
      <c r="D11" s="4">
        <v>3</v>
      </c>
      <c r="E11" s="4">
        <v>3</v>
      </c>
      <c r="F11" s="4">
        <v>3</v>
      </c>
    </row>
    <row r="12" spans="1:6" x14ac:dyDescent="0.35">
      <c r="A12" s="10" t="s">
        <v>41</v>
      </c>
      <c r="B12" s="11">
        <v>2</v>
      </c>
      <c r="C12" s="11" t="s">
        <v>41</v>
      </c>
      <c r="D12" s="4">
        <v>3</v>
      </c>
      <c r="E12" s="4">
        <v>3</v>
      </c>
      <c r="F12" s="4">
        <v>3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value" error="Please select one of the values 1, 2, 3, 4, 5 from the dropdown list." xr:uid="{C5D773D8-0702-4DF2-BBEC-85DACB45241A}">
          <x14:formula1>
            <xm:f>metadata!$S$2:$S$6</xm:f>
          </x14:formula1>
          <xm:sqref>D2:F17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B4E9-86E0-4898-BFE8-B39437E3CC61}">
  <sheetPr codeName="Sheet3"/>
  <dimension ref="A1:J20"/>
  <sheetViews>
    <sheetView workbookViewId="0">
      <selection activeCell="K1" sqref="K1:K1048576"/>
    </sheetView>
  </sheetViews>
  <sheetFormatPr defaultRowHeight="14.5" x14ac:dyDescent="0.35"/>
  <cols>
    <col min="1" max="1" width="21.81640625" bestFit="1" customWidth="1"/>
    <col min="5" max="5" width="10.36328125" customWidth="1"/>
  </cols>
  <sheetData>
    <row r="1" spans="1:10" ht="16.5" x14ac:dyDescent="0.45">
      <c r="A1" s="1" t="s">
        <v>0</v>
      </c>
      <c r="B1" s="1" t="s">
        <v>1</v>
      </c>
      <c r="C1" s="2" t="s">
        <v>2</v>
      </c>
      <c r="D1" s="2" t="s">
        <v>3</v>
      </c>
      <c r="E1" s="1" t="s">
        <v>54</v>
      </c>
      <c r="F1" s="2" t="s">
        <v>55</v>
      </c>
      <c r="G1" s="2" t="s">
        <v>56</v>
      </c>
      <c r="H1" s="1" t="s">
        <v>57</v>
      </c>
      <c r="I1" s="2" t="s">
        <v>58</v>
      </c>
      <c r="J1" s="2" t="s">
        <v>59</v>
      </c>
    </row>
    <row r="2" spans="1:10" ht="16.5" x14ac:dyDescent="0.45">
      <c r="A2" s="8" t="str">
        <f>+fin_ratios!A2</f>
        <v>altman_z</v>
      </c>
      <c r="B2" s="7">
        <v>1.2</v>
      </c>
      <c r="C2" s="7">
        <v>1.3</v>
      </c>
      <c r="D2" s="7">
        <v>1.4</v>
      </c>
      <c r="E2" s="9">
        <v>1.47</v>
      </c>
      <c r="F2" s="9">
        <v>1.323</v>
      </c>
      <c r="G2" s="9">
        <v>1.3891500000000001</v>
      </c>
      <c r="H2" s="9">
        <v>1.2502350000000002</v>
      </c>
      <c r="I2" s="9">
        <v>1.3127467500000003</v>
      </c>
      <c r="J2" s="9">
        <v>1.1814720750000003</v>
      </c>
    </row>
    <row r="3" spans="1:10" ht="16.5" x14ac:dyDescent="0.45">
      <c r="A3" s="8" t="str">
        <f>+fin_ratios!A3</f>
        <v>debt_ebitda</v>
      </c>
      <c r="B3" s="7">
        <v>2.8</v>
      </c>
      <c r="C3" s="7">
        <v>3</v>
      </c>
      <c r="D3" s="7">
        <v>3.1</v>
      </c>
      <c r="E3" s="9">
        <v>3.2550000000000003</v>
      </c>
      <c r="F3" s="9">
        <v>2.9295000000000004</v>
      </c>
      <c r="G3" s="9">
        <v>3.0759750000000006</v>
      </c>
      <c r="H3" s="9">
        <v>2.7683775000000006</v>
      </c>
      <c r="I3" s="9">
        <v>2.9067963750000008</v>
      </c>
      <c r="J3" s="9">
        <v>2.616116737500001</v>
      </c>
    </row>
    <row r="4" spans="1:10" ht="16.5" x14ac:dyDescent="0.45">
      <c r="A4" s="8" t="str">
        <f>+fin_ratios!A4</f>
        <v>net_debt_ebitda</v>
      </c>
      <c r="B4" s="7">
        <v>2.5</v>
      </c>
      <c r="C4" s="7">
        <v>2.7</v>
      </c>
      <c r="D4" s="7">
        <v>2.9</v>
      </c>
      <c r="E4" s="9">
        <v>3.0449999999999999</v>
      </c>
      <c r="F4" s="9">
        <v>2.7404999999999999</v>
      </c>
      <c r="G4" s="9">
        <v>2.8775249999999999</v>
      </c>
      <c r="H4" s="9">
        <v>2.5897725</v>
      </c>
      <c r="I4" s="9">
        <v>2.7192611250000001</v>
      </c>
      <c r="J4" s="9">
        <v>2.4473350125</v>
      </c>
    </row>
    <row r="5" spans="1:10" ht="16.5" x14ac:dyDescent="0.45">
      <c r="A5" s="8" t="str">
        <f>+fin_ratios!A5</f>
        <v>debt_equity</v>
      </c>
      <c r="B5" s="7">
        <v>1.3</v>
      </c>
      <c r="C5" s="7">
        <v>1.4</v>
      </c>
      <c r="D5" s="7">
        <v>1.5</v>
      </c>
      <c r="E5" s="9">
        <v>1.5750000000000002</v>
      </c>
      <c r="F5" s="9">
        <v>1.4175000000000002</v>
      </c>
      <c r="G5" s="9">
        <v>1.4883750000000002</v>
      </c>
      <c r="H5" s="9">
        <v>1.3395375000000003</v>
      </c>
      <c r="I5" s="9">
        <v>1.4065143750000004</v>
      </c>
      <c r="J5" s="9">
        <v>1.2658629375000003</v>
      </c>
    </row>
    <row r="6" spans="1:10" ht="16.5" x14ac:dyDescent="0.45">
      <c r="A6" s="8" t="str">
        <f>+fin_ratios!A6</f>
        <v>debt_capital</v>
      </c>
      <c r="B6" s="7">
        <v>0.5</v>
      </c>
      <c r="C6" s="7">
        <v>0.52</v>
      </c>
      <c r="D6" s="7">
        <v>0.54</v>
      </c>
      <c r="E6" s="9">
        <v>0.56700000000000006</v>
      </c>
      <c r="F6" s="9">
        <v>0.51030000000000009</v>
      </c>
      <c r="G6" s="9">
        <v>0.53581500000000015</v>
      </c>
      <c r="H6" s="9">
        <v>0.48223350000000015</v>
      </c>
      <c r="I6" s="9">
        <v>0.5063451750000002</v>
      </c>
      <c r="J6" s="9">
        <v>0.45571065750000017</v>
      </c>
    </row>
    <row r="7" spans="1:10" ht="16.5" x14ac:dyDescent="0.45">
      <c r="A7" s="8" t="str">
        <f>+fin_ratios!A7</f>
        <v>ffo_debt</v>
      </c>
      <c r="B7" s="7">
        <v>0.2</v>
      </c>
      <c r="C7" s="7">
        <v>0.22</v>
      </c>
      <c r="D7" s="7">
        <v>0.24</v>
      </c>
      <c r="E7" s="9">
        <v>0.252</v>
      </c>
      <c r="F7" s="9">
        <v>0.2268</v>
      </c>
      <c r="G7" s="9">
        <v>0.23814000000000002</v>
      </c>
      <c r="H7" s="9">
        <v>0.21432600000000002</v>
      </c>
      <c r="I7" s="9">
        <v>0.22504230000000003</v>
      </c>
      <c r="J7" s="9">
        <v>0.20253807000000004</v>
      </c>
    </row>
    <row r="8" spans="1:10" ht="16.5" x14ac:dyDescent="0.45">
      <c r="A8" s="8" t="str">
        <f>+fin_ratios!A8</f>
        <v>fcf_debt</v>
      </c>
      <c r="B8" s="7">
        <v>0.14000000000000001</v>
      </c>
      <c r="C8" s="7">
        <v>0.16</v>
      </c>
      <c r="D8" s="7">
        <v>0.18</v>
      </c>
      <c r="E8" s="9">
        <v>0.189</v>
      </c>
      <c r="F8" s="9">
        <v>0.1701</v>
      </c>
      <c r="G8" s="9">
        <v>0.17860500000000001</v>
      </c>
      <c r="H8" s="9">
        <v>0.16074450000000001</v>
      </c>
      <c r="I8" s="9">
        <v>0.16878172500000002</v>
      </c>
      <c r="J8" s="9">
        <v>0.15190355250000001</v>
      </c>
    </row>
    <row r="9" spans="1:10" ht="16.5" x14ac:dyDescent="0.45">
      <c r="A9" s="8" t="str">
        <f>+fin_ratios!A9</f>
        <v>interest_coverage</v>
      </c>
      <c r="B9" s="7">
        <v>2</v>
      </c>
      <c r="C9" s="7">
        <v>2.5</v>
      </c>
      <c r="D9" s="7">
        <v>3</v>
      </c>
      <c r="E9" s="9">
        <v>3.1500000000000004</v>
      </c>
      <c r="F9" s="9">
        <v>2.8350000000000004</v>
      </c>
      <c r="G9" s="9">
        <v>2.9767500000000005</v>
      </c>
      <c r="H9" s="9">
        <v>2.6790750000000005</v>
      </c>
      <c r="I9" s="9">
        <v>2.8130287500000009</v>
      </c>
      <c r="J9" s="9">
        <v>2.5317258750000007</v>
      </c>
    </row>
    <row r="10" spans="1:10" ht="16.5" x14ac:dyDescent="0.45">
      <c r="A10" s="8" t="str">
        <f>+fin_ratios!A10</f>
        <v>fixed_charge_coverage</v>
      </c>
      <c r="B10" s="7">
        <v>1.8</v>
      </c>
      <c r="C10" s="7">
        <v>2</v>
      </c>
      <c r="D10" s="7">
        <v>2.2000000000000002</v>
      </c>
      <c r="E10" s="9">
        <v>2.3100000000000005</v>
      </c>
      <c r="F10" s="9">
        <v>2.0790000000000006</v>
      </c>
      <c r="G10" s="9">
        <v>2.1829500000000008</v>
      </c>
      <c r="H10" s="9">
        <v>1.9646550000000007</v>
      </c>
      <c r="I10" s="9">
        <v>2.0628877500000007</v>
      </c>
      <c r="J10" s="9">
        <v>1.8565989750000007</v>
      </c>
    </row>
    <row r="11" spans="1:10" ht="16.5" x14ac:dyDescent="0.45">
      <c r="A11" s="8" t="str">
        <f>+fin_ratios!A11</f>
        <v>dscr</v>
      </c>
      <c r="B11" s="7">
        <v>1.2</v>
      </c>
      <c r="C11" s="7">
        <v>1.3</v>
      </c>
      <c r="D11" s="7">
        <v>1.4</v>
      </c>
      <c r="E11" s="9">
        <v>1.47</v>
      </c>
      <c r="F11" s="9">
        <v>1.323</v>
      </c>
      <c r="G11" s="9">
        <v>1.3891500000000001</v>
      </c>
      <c r="H11" s="9">
        <v>1.2502350000000002</v>
      </c>
      <c r="I11" s="9">
        <v>1.3127467500000003</v>
      </c>
      <c r="J11" s="9">
        <v>1.1814720750000003</v>
      </c>
    </row>
    <row r="12" spans="1:10" ht="16.5" x14ac:dyDescent="0.45">
      <c r="A12" s="8" t="str">
        <f>+fin_ratios!A12</f>
        <v>ebitda_margin</v>
      </c>
      <c r="B12" s="7">
        <v>0.17</v>
      </c>
      <c r="C12" s="7">
        <v>0.18</v>
      </c>
      <c r="D12" s="7">
        <v>0.19</v>
      </c>
      <c r="E12" s="9">
        <v>0.19950000000000001</v>
      </c>
      <c r="F12" s="9">
        <v>0.17955000000000002</v>
      </c>
      <c r="G12" s="9">
        <v>0.18852750000000001</v>
      </c>
      <c r="H12" s="9">
        <v>0.16967475000000001</v>
      </c>
      <c r="I12" s="9">
        <v>0.17815848750000002</v>
      </c>
      <c r="J12" s="9">
        <v>0.16034263875000002</v>
      </c>
    </row>
    <row r="13" spans="1:10" ht="16.5" x14ac:dyDescent="0.45">
      <c r="A13" s="8" t="str">
        <f>+fin_ratios!A13</f>
        <v>ebit_margin</v>
      </c>
      <c r="B13" s="7">
        <v>0.115</v>
      </c>
      <c r="C13" s="7">
        <v>0.125</v>
      </c>
      <c r="D13" s="7">
        <v>0.13</v>
      </c>
      <c r="E13" s="9">
        <v>0.13650000000000001</v>
      </c>
      <c r="F13" s="9">
        <v>0.12285000000000001</v>
      </c>
      <c r="G13" s="9">
        <v>0.12899250000000001</v>
      </c>
      <c r="H13" s="9">
        <v>0.11609325000000001</v>
      </c>
      <c r="I13" s="9">
        <v>0.12189791250000001</v>
      </c>
      <c r="J13" s="9">
        <v>0.10970812125000001</v>
      </c>
    </row>
    <row r="14" spans="1:10" ht="16.5" x14ac:dyDescent="0.45">
      <c r="A14" s="8" t="str">
        <f>+fin_ratios!A14</f>
        <v>roa</v>
      </c>
      <c r="B14" s="7">
        <v>5.5E-2</v>
      </c>
      <c r="C14" s="7">
        <v>0.06</v>
      </c>
      <c r="D14" s="7">
        <v>6.5000000000000002E-2</v>
      </c>
      <c r="E14" s="9">
        <v>6.8250000000000005E-2</v>
      </c>
      <c r="F14" s="9">
        <v>6.1425000000000007E-2</v>
      </c>
      <c r="G14" s="9">
        <v>6.4496250000000005E-2</v>
      </c>
      <c r="H14" s="9">
        <v>5.8046625000000004E-2</v>
      </c>
      <c r="I14" s="9">
        <v>6.0948956250000005E-2</v>
      </c>
      <c r="J14" s="9">
        <v>5.4854060625000006E-2</v>
      </c>
    </row>
    <row r="15" spans="1:10" ht="16.5" x14ac:dyDescent="0.45">
      <c r="A15" s="8" t="str">
        <f>+fin_ratios!A15</f>
        <v>roe</v>
      </c>
      <c r="B15" s="7">
        <v>0.11</v>
      </c>
      <c r="C15" s="7">
        <v>0.115</v>
      </c>
      <c r="D15" s="7">
        <v>0.12</v>
      </c>
      <c r="E15" s="9">
        <v>0.126</v>
      </c>
      <c r="F15" s="9">
        <v>0.1134</v>
      </c>
      <c r="G15" s="9">
        <v>0.11907000000000001</v>
      </c>
      <c r="H15" s="9">
        <v>0.10716300000000001</v>
      </c>
      <c r="I15" s="9">
        <v>0.11252115000000001</v>
      </c>
      <c r="J15" s="9">
        <v>0.10126903500000002</v>
      </c>
    </row>
    <row r="16" spans="1:10" ht="16.5" x14ac:dyDescent="0.45">
      <c r="A16" s="8" t="str">
        <f>+fin_ratios!A16</f>
        <v>capex_dep</v>
      </c>
      <c r="B16" s="7">
        <v>1.1000000000000001</v>
      </c>
      <c r="C16" s="7">
        <v>1.2</v>
      </c>
      <c r="D16" s="7">
        <v>1.3</v>
      </c>
      <c r="E16" s="9">
        <v>1.3650000000000002</v>
      </c>
      <c r="F16" s="9">
        <v>1.2285000000000001</v>
      </c>
      <c r="G16" s="9">
        <v>1.2899250000000002</v>
      </c>
      <c r="H16" s="9">
        <v>1.1609325000000001</v>
      </c>
      <c r="I16" s="9">
        <v>1.2189791250000002</v>
      </c>
      <c r="J16" s="9">
        <v>1.0970812125000002</v>
      </c>
    </row>
    <row r="17" spans="1:10" ht="16.5" x14ac:dyDescent="0.45">
      <c r="A17" s="8" t="str">
        <f>+fin_ratios!A17</f>
        <v>current_ratio</v>
      </c>
      <c r="B17" s="7">
        <v>1.2</v>
      </c>
      <c r="C17" s="7">
        <v>1.3</v>
      </c>
      <c r="D17" s="7">
        <v>1.4</v>
      </c>
      <c r="E17" s="9">
        <v>1.47</v>
      </c>
      <c r="F17" s="9">
        <v>1.323</v>
      </c>
      <c r="G17" s="9">
        <v>1.3891500000000001</v>
      </c>
      <c r="H17" s="9">
        <v>1.2502350000000002</v>
      </c>
      <c r="I17" s="9">
        <v>1.3127467500000003</v>
      </c>
      <c r="J17" s="9">
        <v>1.1814720750000003</v>
      </c>
    </row>
    <row r="18" spans="1:10" ht="16.5" x14ac:dyDescent="0.45">
      <c r="A18" s="8" t="str">
        <f>+fin_ratios!A18</f>
        <v>rollover_coverage</v>
      </c>
      <c r="B18" s="7">
        <v>1.1000000000000001</v>
      </c>
      <c r="C18" s="7">
        <v>1.2</v>
      </c>
      <c r="D18" s="7">
        <v>1.3</v>
      </c>
      <c r="E18" s="9">
        <v>1.3650000000000002</v>
      </c>
      <c r="F18" s="9">
        <v>1.2285000000000001</v>
      </c>
      <c r="G18" s="9">
        <v>1.2899250000000002</v>
      </c>
      <c r="H18" s="9">
        <v>1.1609325000000001</v>
      </c>
      <c r="I18" s="9">
        <v>1.2189791250000002</v>
      </c>
      <c r="J18" s="9">
        <v>1.0970812125000002</v>
      </c>
    </row>
    <row r="19" spans="1:10" ht="16.5" x14ac:dyDescent="0.45">
      <c r="A19" s="8" t="str">
        <f>+fin_ratios!A19</f>
        <v>quick_ratio</v>
      </c>
      <c r="B19" s="7">
        <v>1.1000000000000001</v>
      </c>
      <c r="C19" s="7">
        <v>1.2</v>
      </c>
      <c r="D19" s="7">
        <v>1.3</v>
      </c>
      <c r="E19" s="9">
        <v>1.3650000000000002</v>
      </c>
      <c r="F19" s="9">
        <v>1.2285000000000001</v>
      </c>
      <c r="G19" s="9">
        <v>1.2899250000000002</v>
      </c>
      <c r="H19" s="9">
        <v>1.1609325000000001</v>
      </c>
      <c r="I19" s="9">
        <v>1.2189791250000002</v>
      </c>
      <c r="J19" s="9">
        <v>1.0970812125000002</v>
      </c>
    </row>
    <row r="20" spans="1:10" x14ac:dyDescent="0.35">
      <c r="E20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fin_ratios</vt:lpstr>
      <vt:lpstr>components</vt:lpstr>
      <vt:lpstr>qual_factors</vt:lpstr>
      <vt:lpstr>peers_t0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Narayanan</dc:creator>
  <cp:lastModifiedBy>Srinivasan Narayanan</cp:lastModifiedBy>
  <dcterms:created xsi:type="dcterms:W3CDTF">2026-02-22T23:16:57Z</dcterms:created>
  <dcterms:modified xsi:type="dcterms:W3CDTF">2026-03-18T23:07:22Z</dcterms:modified>
</cp:coreProperties>
</file>